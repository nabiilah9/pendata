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<sst xmlns="http://schemas.openxmlformats.org/spreadsheetml/2006/main" count="53" uniqueCount="52">
  <si>
    <t>data</t>
  </si>
  <si>
    <t>x</t>
  </si>
  <si>
    <t>y</t>
  </si>
  <si>
    <t>1. Menghitung jarak dengan Euclidean</t>
  </si>
  <si>
    <t>Titik</t>
  </si>
  <si>
    <t>3 tetangga terdekat untuk setiap data berdasarkan jarak Euclidean:</t>
  </si>
  <si>
    <t>3,9,2</t>
  </si>
  <si>
    <t>9,1,3</t>
  </si>
  <si>
    <t>1,9,2</t>
  </si>
  <si>
    <t>8,6,5</t>
  </si>
  <si>
    <t>4,8,1</t>
  </si>
  <si>
    <t>4,8,7</t>
  </si>
  <si>
    <t>6,4,8</t>
  </si>
  <si>
    <t>4,6,5</t>
  </si>
  <si>
    <t>1,2,3</t>
  </si>
  <si>
    <t>7,9,6</t>
  </si>
  <si>
    <t>2. Menghitung Reachability Distance</t>
  </si>
  <si>
    <t>K =</t>
  </si>
  <si>
    <t xml:space="preserve">k-distance(B) = jarak ke-3 tetangga terjauh dari B </t>
  </si>
  <si>
    <t>d(A,B) = jarak euclidean antara A dan B</t>
  </si>
  <si>
    <t>3. Menghitung LRD</t>
  </si>
  <si>
    <t>LRD(1) =</t>
  </si>
  <si>
    <t>3 tetangga terdekat = (2, 3, 9)</t>
  </si>
  <si>
    <t>LRD(2) =</t>
  </si>
  <si>
    <t>3 tetangga terdekat = (1, 3, 5)</t>
  </si>
  <si>
    <t>LRD(3) =</t>
  </si>
  <si>
    <t>3 tetangga terdekat = (1, 5, 9)</t>
  </si>
  <si>
    <t>LRD(4)  =</t>
  </si>
  <si>
    <t>3 tetangga terdekat = (5, 6, 8)</t>
  </si>
  <si>
    <t>LRD(5) =</t>
  </si>
  <si>
    <t>3 tetangga terdekat = (1, 6, 8)</t>
  </si>
  <si>
    <t>LRD(6) =</t>
  </si>
  <si>
    <t>3 tetangga terdekat = (4, 7, 8)</t>
  </si>
  <si>
    <t>LRD(7) =</t>
  </si>
  <si>
    <t>3 tetangga terdekat = (4, 6, 8)</t>
  </si>
  <si>
    <t>LRD(8) =</t>
  </si>
  <si>
    <t>3 tetangga terdekat = (4, 5, 6)</t>
  </si>
  <si>
    <t>LRD(9) =</t>
  </si>
  <si>
    <t>3 tetangga terdekat = (1, 2, 3)</t>
  </si>
  <si>
    <t>LRD(10) =</t>
  </si>
  <si>
    <t>3 tetangga terdekat = (6, 7, 9)</t>
  </si>
  <si>
    <t>4. Menghitung LOF</t>
  </si>
  <si>
    <t xml:space="preserve">LOF(1) = </t>
  </si>
  <si>
    <t xml:space="preserve">LOF(2) = </t>
  </si>
  <si>
    <t xml:space="preserve">LOF(3) = </t>
  </si>
  <si>
    <t xml:space="preserve">LOF(4) = </t>
  </si>
  <si>
    <t xml:space="preserve">LOF(5) = </t>
  </si>
  <si>
    <t xml:space="preserve">LOF(6) = </t>
  </si>
  <si>
    <t xml:space="preserve">LOF(7) = </t>
  </si>
  <si>
    <t xml:space="preserve">LOF(8) = </t>
  </si>
  <si>
    <t xml:space="preserve">LOF(9) = </t>
  </si>
  <si>
    <t xml:space="preserve">LOF(10) 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</si>
</sst>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49" xfId="0" applyAlignment="1" applyBorder="1" applyFont="1" applyNumberFormat="1">
      <alignment horizontal="right"/>
    </xf>
    <xf borderId="1" fillId="2" fontId="2" numFmtId="49" xfId="0" applyAlignment="1" applyBorder="1" applyFill="1" applyFont="1" applyNumberFormat="1">
      <alignment horizontal="right"/>
    </xf>
    <xf borderId="0" fillId="0" fontId="2" numFmtId="49" xfId="0" applyAlignment="1" applyFont="1" applyNumberFormat="1">
      <alignment readingOrder="0"/>
    </xf>
    <xf borderId="1" fillId="3" fontId="2" numFmtId="49" xfId="0" applyAlignment="1" applyBorder="1" applyFill="1" applyFont="1" applyNumberFormat="1">
      <alignment horizontal="right"/>
    </xf>
    <xf borderId="1" fillId="0" fontId="2" numFmtId="49" xfId="0" applyAlignment="1" applyBorder="1" applyFont="1" applyNumberFormat="1">
      <alignment horizontal="right" readingOrder="0"/>
    </xf>
    <xf borderId="1" fillId="0" fontId="1" numFmtId="49" xfId="0" applyAlignment="1" applyBorder="1" applyFont="1" applyNumberFormat="1">
      <alignment horizontal="right" readingOrder="0" shrinkToFit="0" vertical="bottom" wrapText="0"/>
    </xf>
    <xf borderId="1" fillId="2" fontId="1" numFmtId="49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1" fillId="4" fontId="2" numFmtId="0" xfId="0" applyAlignment="1" applyBorder="1" applyFill="1" applyFont="1">
      <alignment horizontal="right"/>
    </xf>
    <xf borderId="1" fillId="0" fontId="2" numFmtId="0" xfId="0" applyAlignment="1" applyBorder="1" applyFont="1">
      <alignment horizontal="right"/>
    </xf>
    <xf borderId="1" fillId="0" fontId="2" numFmtId="0" xfId="0" applyBorder="1" applyFont="1"/>
    <xf borderId="1" fillId="4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914400</xdr:colOff>
      <xdr:row>28</xdr:row>
      <xdr:rowOff>200025</xdr:rowOff>
    </xdr:from>
    <xdr:ext cx="3114675" cy="2857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4" max="4" width="11.38"/>
  </cols>
  <sheetData>
    <row r="4">
      <c r="A4" s="1" t="s">
        <v>0</v>
      </c>
      <c r="B4" s="1" t="s">
        <v>1</v>
      </c>
      <c r="C4" s="1" t="s">
        <v>2</v>
      </c>
    </row>
    <row r="5">
      <c r="A5" s="1">
        <v>1.0</v>
      </c>
      <c r="B5" s="1">
        <v>2.0</v>
      </c>
      <c r="C5" s="1">
        <v>4.0</v>
      </c>
    </row>
    <row r="6">
      <c r="A6" s="1">
        <v>2.0</v>
      </c>
      <c r="B6" s="1">
        <v>3.0</v>
      </c>
      <c r="C6" s="1">
        <v>6.0</v>
      </c>
    </row>
    <row r="7">
      <c r="A7" s="1">
        <v>3.0</v>
      </c>
      <c r="B7" s="1">
        <v>1.0</v>
      </c>
      <c r="C7" s="1">
        <v>4.0</v>
      </c>
    </row>
    <row r="8">
      <c r="A8" s="1">
        <v>4.0</v>
      </c>
      <c r="B8" s="1">
        <v>4.0</v>
      </c>
      <c r="C8" s="1">
        <v>3.0</v>
      </c>
    </row>
    <row r="9">
      <c r="A9" s="1">
        <v>5.0</v>
      </c>
      <c r="B9" s="1">
        <v>3.0</v>
      </c>
      <c r="C9" s="1">
        <v>2.0</v>
      </c>
    </row>
    <row r="10">
      <c r="A10" s="1">
        <v>6.0</v>
      </c>
      <c r="B10" s="1">
        <v>5.0</v>
      </c>
      <c r="C10" s="1">
        <v>3.0</v>
      </c>
    </row>
    <row r="11">
      <c r="A11" s="1">
        <v>7.0</v>
      </c>
      <c r="B11" s="1">
        <v>6.0</v>
      </c>
      <c r="C11" s="1">
        <v>4.0</v>
      </c>
    </row>
    <row r="12">
      <c r="A12" s="1">
        <v>8.0</v>
      </c>
      <c r="B12" s="1">
        <v>4.0</v>
      </c>
      <c r="C12" s="1">
        <v>3.0</v>
      </c>
    </row>
    <row r="13">
      <c r="A13" s="1">
        <v>9.0</v>
      </c>
      <c r="B13" s="1">
        <v>2.0</v>
      </c>
      <c r="C13" s="1">
        <v>5.0</v>
      </c>
    </row>
    <row r="14">
      <c r="A14" s="1">
        <v>10.0</v>
      </c>
      <c r="B14" s="1">
        <v>15.0</v>
      </c>
      <c r="C14" s="1">
        <v>20.0</v>
      </c>
    </row>
    <row r="16">
      <c r="A16" s="2" t="s">
        <v>3</v>
      </c>
    </row>
    <row r="17">
      <c r="A17" s="3" t="s">
        <v>4</v>
      </c>
      <c r="B17" s="3">
        <v>1.0</v>
      </c>
      <c r="C17" s="3">
        <v>2.0</v>
      </c>
      <c r="D17" s="3">
        <v>3.0</v>
      </c>
      <c r="E17" s="3">
        <v>4.0</v>
      </c>
      <c r="F17" s="3">
        <v>5.0</v>
      </c>
      <c r="G17" s="3">
        <v>6.0</v>
      </c>
      <c r="H17" s="3">
        <v>7.0</v>
      </c>
      <c r="I17" s="3">
        <v>8.0</v>
      </c>
      <c r="J17" s="3">
        <v>9.0</v>
      </c>
      <c r="K17" s="3">
        <v>10.0</v>
      </c>
      <c r="M17" s="2" t="s">
        <v>5</v>
      </c>
    </row>
    <row r="18">
      <c r="A18" s="4">
        <v>1.0</v>
      </c>
      <c r="B18" s="5">
        <f>SQRT((B5-B5)^2 + (C5-C5)^2)</f>
        <v>0</v>
      </c>
      <c r="C18" s="6">
        <f>SQRT((B6-B5)^2 + (C6-C5)^2)</f>
        <v>2.236067977</v>
      </c>
      <c r="D18" s="5">
        <f>SQRT((B7-B5)^2 + (C7-C5)^2)</f>
        <v>1</v>
      </c>
      <c r="E18" s="5">
        <f>SQRT((B8-B5)^2 + (C8-C5)^2)</f>
        <v>2.236067977</v>
      </c>
      <c r="F18" s="5">
        <f>SQRT((B9-B5)^2 + (C9-C5)^2)</f>
        <v>2.236067977</v>
      </c>
      <c r="G18" s="5">
        <f>SQRT((B10-B5)^2 + (C10-C5)^2)</f>
        <v>3.16227766</v>
      </c>
      <c r="H18" s="5">
        <f>SQRT((B11-B5)^2 + (C11-C5)^2)</f>
        <v>4</v>
      </c>
      <c r="I18" s="5">
        <f>SQRT((B12-B5)^2 + (C12-C5)^2)</f>
        <v>2.236067977</v>
      </c>
      <c r="J18" s="5">
        <f>SQRT((B13-B5)^2 + (C13-C5)^2)</f>
        <v>1</v>
      </c>
      <c r="K18" s="5">
        <f>SQRT((B14-B5)^2 + (C14-C5)^2)</f>
        <v>20.61552813</v>
      </c>
      <c r="M18" s="7" t="s">
        <v>6</v>
      </c>
    </row>
    <row r="19">
      <c r="A19" s="4">
        <v>2.0</v>
      </c>
      <c r="B19" s="5">
        <f>SQRT((B5-B6)^2 + (C5-C6)^2)</f>
        <v>2.236067977</v>
      </c>
      <c r="C19" s="5">
        <f>SQRT((B6-B6)^2 + (C6-C6)^2)</f>
        <v>0</v>
      </c>
      <c r="D19" s="6">
        <f>SQRT((B7-B6)^2 + (C7-C6)^2)</f>
        <v>2.828427125</v>
      </c>
      <c r="E19" s="5">
        <f>SQRT((B8-B6)^2 + (C8-C6)^2)</f>
        <v>3.16227766</v>
      </c>
      <c r="F19" s="5">
        <f>SQRT((B9-B6)^2 + (C9-C6)^2)</f>
        <v>4</v>
      </c>
      <c r="G19" s="5">
        <f>SQRT((B10-B6)^2 + (C10-C6)^2)</f>
        <v>3.605551275</v>
      </c>
      <c r="H19" s="5">
        <f>SQRT((B11-B6)^2 + (C11-C6)^2)</f>
        <v>3.605551275</v>
      </c>
      <c r="I19" s="5">
        <f>SQRT((B12-B6)^2 + (C12-C6)^2)</f>
        <v>3.16227766</v>
      </c>
      <c r="J19" s="5">
        <f>SQRT((B13-B6)^2 + (C13-C6)^2)</f>
        <v>1.414213562</v>
      </c>
      <c r="K19" s="5">
        <f>SQRT((B14-B6)^2 + (C14-C6)^2)</f>
        <v>18.43908891</v>
      </c>
      <c r="M19" s="7" t="s">
        <v>7</v>
      </c>
    </row>
    <row r="20">
      <c r="A20" s="4">
        <v>3.0</v>
      </c>
      <c r="B20" s="5">
        <f>SQRT((B7-B5)^2 + (C7-C5)^2)</f>
        <v>1</v>
      </c>
      <c r="C20" s="8">
        <f>SQRT((B7-B6)^2 + (C7-C6)^2)</f>
        <v>2.828427125</v>
      </c>
      <c r="D20" s="9">
        <f>SQRT((B7-B7)^2 + (C7-C7)^2)</f>
        <v>0</v>
      </c>
      <c r="E20" s="5">
        <f>SQRT((B8-B7)^2 + (C8-C7)^2)</f>
        <v>3.16227766</v>
      </c>
      <c r="F20" s="5">
        <f>SQRT((B9-B7)^2 + (C9-C7)^2)</f>
        <v>2.828427125</v>
      </c>
      <c r="G20" s="9">
        <f>SQRT((B10-B7)^2 + (C10-C7)^2)</f>
        <v>4.123105626</v>
      </c>
      <c r="H20" s="10">
        <f>SQRT((B11-B7)^2 + (C11-C7)^2)</f>
        <v>5</v>
      </c>
      <c r="I20" s="10">
        <f>SQRT((B12-B7)^2 + (C12-C7)^2)</f>
        <v>3.16227766</v>
      </c>
      <c r="J20" s="10">
        <f>SQRT((B13-B7)^2 + (C13-C7)^2)</f>
        <v>1.414213562</v>
      </c>
      <c r="K20" s="10">
        <f>SQRT((B14-B7)^2 + (C14-C7)^2)</f>
        <v>21.26029163</v>
      </c>
      <c r="M20" s="7" t="s">
        <v>8</v>
      </c>
    </row>
    <row r="21">
      <c r="A21" s="4">
        <v>4.0</v>
      </c>
      <c r="B21" s="5">
        <f>SQRT((B8-B5)^2 + (C8-C5)^2)</f>
        <v>2.236067977</v>
      </c>
      <c r="C21" s="10">
        <f>SQRT((B8-B6)^2 + (C8-C6)^2)</f>
        <v>3.16227766</v>
      </c>
      <c r="D21" s="10">
        <f>SQRT((B8-B7)^2 + (C8-C7)^2)</f>
        <v>3.16227766</v>
      </c>
      <c r="E21" s="9">
        <f>SQRT((B8-B8)^2 + (C8-C8)^2)</f>
        <v>0</v>
      </c>
      <c r="F21" s="11">
        <f>SQRT((B8-B9)^2 + (C8-C9)^2)</f>
        <v>1.414213562</v>
      </c>
      <c r="G21" s="9">
        <f>SQRT((B8-B10)^2 + (C8-C10)^2)</f>
        <v>1</v>
      </c>
      <c r="H21" s="9">
        <f>SQRT((B8-B11)^2 + (C8-C11)^2)</f>
        <v>2.236067977</v>
      </c>
      <c r="I21" s="9">
        <f>SQRT((B8-B12)^2 + (C8-C12)^2)</f>
        <v>0</v>
      </c>
      <c r="J21" s="10">
        <f>SQRT((B8-B13)^2 + (C8-C13)^2)</f>
        <v>2.828427125</v>
      </c>
      <c r="K21" s="10">
        <f>SQRT((B8-B14)^2 + (C8-C14)^2)</f>
        <v>20.24845673</v>
      </c>
      <c r="M21" s="7" t="s">
        <v>9</v>
      </c>
    </row>
    <row r="22">
      <c r="A22" s="4">
        <v>5.0</v>
      </c>
      <c r="B22" s="6">
        <f>SQRT((B9-B5)^2 + (C9-C5)^2)</f>
        <v>2.236067977</v>
      </c>
      <c r="C22" s="9">
        <f>SQRT((B9-B6)^2 + (C9-C6)^2)</f>
        <v>4</v>
      </c>
      <c r="D22" s="5">
        <f>SQRT((B9-B7)^2 + (C9-C7)^2)</f>
        <v>2.828427125</v>
      </c>
      <c r="E22" s="9">
        <f>SQRT((B9-B8)^2 + (C9-C8)^2)</f>
        <v>1.414213562</v>
      </c>
      <c r="F22" s="9">
        <f>SQRT((B9-B9)^2 + (C9-C9)^2)</f>
        <v>0</v>
      </c>
      <c r="G22" s="10">
        <f>SQRT((B9-B10)^2 + (C9-C10)^2)</f>
        <v>2.236067977</v>
      </c>
      <c r="H22" s="10">
        <f>SQRT((B9-B11)^2 + (C9-C11)^2)</f>
        <v>3.605551275</v>
      </c>
      <c r="I22" s="10">
        <f>SQRT((B9-B12)^2 + (C9-C12)^2)</f>
        <v>1.414213562</v>
      </c>
      <c r="J22" s="10">
        <f>SQRT((B9-B13)^2 + (C9-C13)^2)</f>
        <v>3.16227766</v>
      </c>
      <c r="K22" s="10">
        <f>SQRT((B9-B14)^2 + (C9-C14)^2)</f>
        <v>21.63330765</v>
      </c>
      <c r="M22" s="7" t="s">
        <v>10</v>
      </c>
    </row>
    <row r="23">
      <c r="A23" s="4">
        <v>6.0</v>
      </c>
      <c r="B23" s="5">
        <f>SQRT((B10-B5)^2 + (C10-C5)^2)</f>
        <v>3.16227766</v>
      </c>
      <c r="C23" s="10">
        <f>SQRT((B10-B6)^2 + (C10-C6)^2)</f>
        <v>3.605551275</v>
      </c>
      <c r="D23" s="10">
        <f>SQRT((B10-B7)^2 + (C10-C7)^2)</f>
        <v>4.123105626</v>
      </c>
      <c r="E23" s="10">
        <f>SQRT((B10-B8)^2 + (C10-C8)^2)</f>
        <v>1</v>
      </c>
      <c r="F23" s="10">
        <f>SQRT((B10-B9)^2 + (C10-C9)^2)</f>
        <v>2.236067977</v>
      </c>
      <c r="G23" s="9">
        <f>SQRT((B10-B10)^2 + (C10-C10)^2)</f>
        <v>0</v>
      </c>
      <c r="H23" s="11">
        <f>SQRT((B10-B11)^2 + (C10-C11)^2)</f>
        <v>1.414213562</v>
      </c>
      <c r="I23" s="10">
        <f>SQRT((B10-B12)^2 + (C10-C12)^2)</f>
        <v>1</v>
      </c>
      <c r="J23" s="10">
        <f>SQRT((B10-B13)^2 + (C10-C13)^2)</f>
        <v>3.605551275</v>
      </c>
      <c r="K23" s="10">
        <f>SQRT((B10-B14)^2 + (C10-C14)^2)</f>
        <v>19.72308292</v>
      </c>
      <c r="M23" s="7" t="s">
        <v>11</v>
      </c>
    </row>
    <row r="24">
      <c r="A24" s="4">
        <v>7.0</v>
      </c>
      <c r="B24" s="9">
        <f>SQRT((B11-B5)^2 + (C11-C5)^2)</f>
        <v>4</v>
      </c>
      <c r="C24" s="10">
        <f>SQRT((B11-B6)^2 + (C11-C6)^2)</f>
        <v>3.605551275</v>
      </c>
      <c r="D24" s="9">
        <f>SQRT((B11-B7)^2 + (C11-C7)^2)</f>
        <v>5</v>
      </c>
      <c r="E24" s="10">
        <f>SQRT((B11-B8)^2 + (C11-C8)^2)</f>
        <v>2.236067977</v>
      </c>
      <c r="F24" s="10">
        <f>SQRT((B11-B9)^2 + (C11-C9)^2)</f>
        <v>3.605551275</v>
      </c>
      <c r="G24" s="10">
        <f>SQRT((B11-B10)^2 + (C11-C10)^2)</f>
        <v>1.414213562</v>
      </c>
      <c r="H24" s="9">
        <f>SQRT((B11-B11)^2 + (C11-C11)^2)</f>
        <v>0</v>
      </c>
      <c r="I24" s="11">
        <f>SQRT((B11-B12)^2 + (C11-C12)^2)</f>
        <v>2.236067977</v>
      </c>
      <c r="J24" s="10">
        <f>SQRT((B11-B13)^2 + (C11-C13)^2)</f>
        <v>4.123105626</v>
      </c>
      <c r="K24" s="10">
        <f>SQRT((B11-B14)^2 + (C11-C14)^2)</f>
        <v>18.35755975</v>
      </c>
      <c r="M24" s="7" t="s">
        <v>12</v>
      </c>
    </row>
    <row r="25">
      <c r="A25" s="4">
        <v>8.0</v>
      </c>
      <c r="B25" s="10">
        <f>SQRT((B12-B5)^2 + (C12-C5)^2)</f>
        <v>2.236067977</v>
      </c>
      <c r="C25" s="5">
        <f>SQRT((B12-B6)^2 + (C12-C6)^2)</f>
        <v>3.16227766</v>
      </c>
      <c r="D25" s="5">
        <f>SQRT((B12-B7)^2 + (C12-C7)^2)</f>
        <v>3.16227766</v>
      </c>
      <c r="E25" s="9">
        <f>SQRT((B12-B8)^2 + (C12-C8)^2)</f>
        <v>0</v>
      </c>
      <c r="F25" s="11">
        <f>SQRT((B12-B9)^2 + (C12-C9)^2)</f>
        <v>1.414213562</v>
      </c>
      <c r="G25" s="9">
        <f>SQRT((B12-B10)^2 + (C12-C10)^2)</f>
        <v>1</v>
      </c>
      <c r="H25" s="10">
        <f>SQRT((B12-B11)^2 + (C12-C11)^2)</f>
        <v>2.236067977</v>
      </c>
      <c r="I25" s="9">
        <f>SQRT((B12-B12)^2 + (C12-C12)^2)</f>
        <v>0</v>
      </c>
      <c r="J25" s="10">
        <f>SQRT((B13-B12)^2 + (C13-C12)^2)</f>
        <v>2.828427125</v>
      </c>
      <c r="K25" s="10">
        <f>SQRT((B12-B14)^2 + (C12-C14)^2)</f>
        <v>20.24845673</v>
      </c>
      <c r="M25" s="7" t="s">
        <v>13</v>
      </c>
    </row>
    <row r="26">
      <c r="A26" s="4">
        <v>9.0</v>
      </c>
      <c r="B26" s="9">
        <f>SQRT((B13-B5)^2 + (C13-C5)^2)</f>
        <v>1</v>
      </c>
      <c r="C26" s="10">
        <f>SQRT((B13-B6)^2 + (C13-C6)^2)</f>
        <v>1.414213562</v>
      </c>
      <c r="D26" s="11">
        <f>SQRT((B13-B7)^2 + (C13-C7)^2)</f>
        <v>1.414213562</v>
      </c>
      <c r="E26" s="10">
        <f>SQRT((B13-B8)^2 + (C13-C8)^2)</f>
        <v>2.828427125</v>
      </c>
      <c r="F26" s="9">
        <f>SQRT((B13-B9)^2 + (C13-C9)^2)</f>
        <v>3.16227766</v>
      </c>
      <c r="G26" s="10">
        <f>SQRT((B13-B10)^2 + (C13-C10)^2)</f>
        <v>3.605551275</v>
      </c>
      <c r="H26" s="10">
        <f>SQRT((B13-B11)^2 + (C13-C11)^2)</f>
        <v>4.123105626</v>
      </c>
      <c r="I26" s="10">
        <f>SQRT((B13-B12)^2 + (C13-C12)^2)</f>
        <v>2.828427125</v>
      </c>
      <c r="J26" s="9">
        <f>SQRT((B13-B13)^2 + (C13-C13)^2)</f>
        <v>0</v>
      </c>
      <c r="K26" s="10">
        <f>SQRT((B13-B14)^2 + (C13-C14)^2)</f>
        <v>19.84943324</v>
      </c>
      <c r="M26" s="7" t="s">
        <v>14</v>
      </c>
    </row>
    <row r="27">
      <c r="A27" s="4">
        <v>10.0</v>
      </c>
      <c r="B27" s="12">
        <f>SQRT((B14-B5)^2 + (C14-C5)^2)</f>
        <v>20.61552813</v>
      </c>
      <c r="C27" s="12">
        <f>SQRT((B14-B6)^2 + (C14-C6)^2)</f>
        <v>18.43908891</v>
      </c>
      <c r="D27" s="12">
        <f>SQRT((B14-B7)^2 + (C14-C7)^2)</f>
        <v>21.26029163</v>
      </c>
      <c r="E27" s="12">
        <f>SQRT((B14-B8)^2 + (C14-C8)^2)</f>
        <v>20.24845673</v>
      </c>
      <c r="F27" s="12">
        <f>SQRT((B9-B14)^2 + (C9-C14)^2)</f>
        <v>21.63330765</v>
      </c>
      <c r="G27" s="13">
        <f>SQRT((B10-B14)^2 + (C10-C14)^2)</f>
        <v>19.72308292</v>
      </c>
      <c r="H27" s="12">
        <f>SQRT((B11-B14)^2 + (C11-C14)^2)</f>
        <v>18.35755975</v>
      </c>
      <c r="I27" s="12">
        <f>SQRT((B12-B14)^2 + (C12-C14)^2)</f>
        <v>20.24845673</v>
      </c>
      <c r="J27" s="12">
        <f>SQRT((B13-B14)^2 + (C13-C14)^2)</f>
        <v>19.84943324</v>
      </c>
      <c r="K27" s="14">
        <f>SQRT((B14-B14)^2 + (C14-C14)^2)</f>
        <v>0</v>
      </c>
      <c r="M27" s="7" t="s">
        <v>15</v>
      </c>
    </row>
    <row r="29">
      <c r="A29" s="2" t="s">
        <v>16</v>
      </c>
      <c r="D29" s="15" t="s">
        <v>17</v>
      </c>
      <c r="E29" s="16">
        <v>3.0</v>
      </c>
    </row>
    <row r="30">
      <c r="A30" s="3" t="s">
        <v>4</v>
      </c>
      <c r="B30" s="3">
        <v>1.0</v>
      </c>
      <c r="C30" s="3">
        <v>2.0</v>
      </c>
      <c r="D30" s="3">
        <v>3.0</v>
      </c>
      <c r="E30" s="3">
        <v>4.0</v>
      </c>
      <c r="F30" s="3">
        <v>5.0</v>
      </c>
      <c r="G30" s="3">
        <v>6.0</v>
      </c>
      <c r="H30" s="3">
        <v>7.0</v>
      </c>
      <c r="I30" s="3">
        <v>8.0</v>
      </c>
      <c r="J30" s="3">
        <v>9.0</v>
      </c>
      <c r="K30" s="3">
        <v>10.0</v>
      </c>
    </row>
    <row r="31">
      <c r="A31" s="4">
        <v>1.0</v>
      </c>
      <c r="B31" s="14">
        <v>0.0</v>
      </c>
      <c r="C31" s="17">
        <f>MAX(VALUE(D19),VALUE(C18))</f>
        <v>2.828427125</v>
      </c>
      <c r="D31" s="17">
        <f>MAX(VALUE(C20),VALUE(D18))</f>
        <v>2.828427125</v>
      </c>
      <c r="E31" s="18">
        <f>MAX(VALUE(F21),VALUE(E18))</f>
        <v>2.236067977</v>
      </c>
      <c r="F31" s="5">
        <f>MAX(B22,F18)</f>
        <v>2.236067977</v>
      </c>
      <c r="G31" s="5">
        <f>MAX(C18,G18)</f>
        <v>3.16227766</v>
      </c>
      <c r="H31" s="5">
        <f>MAX(C18,H18)</f>
        <v>4</v>
      </c>
      <c r="I31" s="5">
        <f>MAX(C18,I18)</f>
        <v>2.236067977</v>
      </c>
      <c r="J31" s="17">
        <f>MAX(VALUE(D26),VALUE(J18))</f>
        <v>1.414213562</v>
      </c>
      <c r="K31" s="5">
        <f>MAX(C18,K18)</f>
        <v>20.61552813</v>
      </c>
    </row>
    <row r="32">
      <c r="A32" s="4">
        <v>2.0</v>
      </c>
      <c r="B32" s="17">
        <f>MAX(VALUE(C18),VALUE(B19))</f>
        <v>2.236067977</v>
      </c>
      <c r="C32" s="18"/>
      <c r="D32" s="17">
        <f>MAX(VALUE(C20),VALUE(D19))</f>
        <v>2.828427125</v>
      </c>
      <c r="E32" s="5">
        <f>MAX(D19,E19)</f>
        <v>3.16227766</v>
      </c>
      <c r="F32" s="5">
        <f>MAX(D19,F19)</f>
        <v>4</v>
      </c>
      <c r="G32" s="5">
        <f>MAX(D19,G19)</f>
        <v>3.605551275</v>
      </c>
      <c r="H32" s="5">
        <f>MAX(D19,H19)</f>
        <v>3.605551275</v>
      </c>
      <c r="I32" s="5">
        <f>MAX(D19,I19)</f>
        <v>3.16227766</v>
      </c>
      <c r="J32" s="17">
        <f>MAX(VALUE(D26),J19)</f>
        <v>1.414213562</v>
      </c>
      <c r="K32" s="5">
        <f>MAX(D19,K19)</f>
        <v>18.43908891</v>
      </c>
      <c r="M32" s="2" t="s">
        <v>18</v>
      </c>
    </row>
    <row r="33">
      <c r="A33" s="4">
        <v>3.0</v>
      </c>
      <c r="B33" s="17">
        <f>MAX(VALUE(C18),VALUE(B20))</f>
        <v>2.236067977</v>
      </c>
      <c r="C33" s="17">
        <f>MAX(VALUE(D19),C20)</f>
        <v>2.828427125</v>
      </c>
      <c r="D33" s="18"/>
      <c r="E33" s="5">
        <f>MAX(F20,E20)</f>
        <v>3.16227766</v>
      </c>
      <c r="F33" s="18">
        <f>MAX(VALUE(B22),F20)</f>
        <v>2.828427125</v>
      </c>
      <c r="G33" s="5">
        <f>MAX(F20,G20)</f>
        <v>4.123105626</v>
      </c>
      <c r="H33" s="5">
        <f>MAX(F20,H20)</f>
        <v>5</v>
      </c>
      <c r="I33" s="5">
        <f>MAX(F20,I20)</f>
        <v>3.16227766</v>
      </c>
      <c r="J33" s="17">
        <f>MAX(VALUE(D26),J20)</f>
        <v>1.414213562</v>
      </c>
      <c r="K33" s="5">
        <f>MAX(F20,K20)</f>
        <v>21.26029163</v>
      </c>
      <c r="M33" s="2" t="s">
        <v>19</v>
      </c>
    </row>
    <row r="34">
      <c r="A34" s="4">
        <v>4.0</v>
      </c>
      <c r="B34" s="5">
        <f>MAX(F21,B21)</f>
        <v>2.236067977</v>
      </c>
      <c r="C34" s="18">
        <f>MAX(VALUE(F21),VALUE(C21))</f>
        <v>3.16227766</v>
      </c>
      <c r="D34" s="18">
        <f>MAX(VALUE(F21),VALUE(D21))</f>
        <v>3.16227766</v>
      </c>
      <c r="E34" s="18"/>
      <c r="F34" s="17">
        <f>MAX(VALUE(B22),VALUE(F21))</f>
        <v>2.236067977</v>
      </c>
      <c r="G34" s="17">
        <f>MAX(VALUE(H23),VALUE(G21))</f>
        <v>1.414213562</v>
      </c>
      <c r="H34" s="18">
        <f>MAX(VALUE(F21),VALUE(H21))</f>
        <v>2.236067977</v>
      </c>
      <c r="I34" s="17">
        <f>MAX(VALUE(F25),VALUE(I21))</f>
        <v>1.414213562</v>
      </c>
      <c r="J34" s="18">
        <f>MAX(VALUE(F21),VALUE(J21))</f>
        <v>2.828427125</v>
      </c>
      <c r="K34" s="18">
        <f>MAX(VALUE(F21),VALUE(K21))</f>
        <v>20.24845673</v>
      </c>
    </row>
    <row r="35">
      <c r="A35" s="4">
        <v>5.0</v>
      </c>
      <c r="B35" s="17">
        <f>MAX(VALUE(C18),VALUE(B22))</f>
        <v>2.236067977</v>
      </c>
      <c r="C35" s="18">
        <f>MAX(VALUE(B22),VALUE(C22))</f>
        <v>4</v>
      </c>
      <c r="D35" s="18">
        <f>MAX(VALUE(B22),VALUE(D22))</f>
        <v>2.828427125</v>
      </c>
      <c r="E35" s="17">
        <f>MAX(VALUE(F21),VALUE(E22))</f>
        <v>1.414213562</v>
      </c>
      <c r="F35" s="18"/>
      <c r="G35" s="18">
        <f>MAX(VALUE(H23),VALUE(G22))</f>
        <v>2.236067977</v>
      </c>
      <c r="H35" s="18">
        <f>MAX(VALUE(B22),VALUE(H22))</f>
        <v>3.605551275</v>
      </c>
      <c r="I35" s="17">
        <f>MAX(VALUE(F25),VALUE(I22))</f>
        <v>1.414213562</v>
      </c>
      <c r="J35" s="18">
        <f>MAX(VALUE(B22),VALUE(J22))</f>
        <v>3.16227766</v>
      </c>
      <c r="K35" s="18">
        <f>MAX(VALUE(B22),VALUE(K22))</f>
        <v>21.63330765</v>
      </c>
    </row>
    <row r="36">
      <c r="A36" s="4">
        <v>6.0</v>
      </c>
      <c r="B36" s="19">
        <f>MAX(VALUE(H23),VALUE(B23))</f>
        <v>3.16227766</v>
      </c>
      <c r="C36" s="19">
        <f>MAX(VALUE(H23),VALUE(C23))</f>
        <v>3.605551275</v>
      </c>
      <c r="D36" s="19">
        <f>MAX(VALUE(H23),VALUE(D23))</f>
        <v>4.123105626</v>
      </c>
      <c r="E36" s="20">
        <f>MAX(VALUE(F21),VALUE(E23))</f>
        <v>1.414213562</v>
      </c>
      <c r="F36" s="19">
        <f>MAX(VALUE(H23),VALUE(F23))</f>
        <v>2.236067977</v>
      </c>
      <c r="G36" s="19"/>
      <c r="H36" s="20">
        <f>MAX(VALUE(I24),VALUE(H23))</f>
        <v>2.236067977</v>
      </c>
      <c r="I36" s="20">
        <f>MAX(VALUE(F25),VALUE(I23))</f>
        <v>1.414213562</v>
      </c>
      <c r="J36" s="19">
        <f>MAX(VALUE(H23),VALUE(J23))</f>
        <v>3.605551275</v>
      </c>
      <c r="K36" s="19">
        <f>MAX(VALUE(H23),VALUE(K23))</f>
        <v>19.72308292</v>
      </c>
    </row>
    <row r="37">
      <c r="A37" s="4">
        <v>7.0</v>
      </c>
      <c r="B37" s="18">
        <f>MAX(VALUE(I24),VALUE(B24))</f>
        <v>4</v>
      </c>
      <c r="C37" s="18">
        <f>MAX(VALUE(I24),VALUE(C24))</f>
        <v>3.605551275</v>
      </c>
      <c r="D37" s="18">
        <f>MAX(VALUE(I24),VALUE(D24))</f>
        <v>5</v>
      </c>
      <c r="E37" s="17">
        <f>MAX(VALUE(F21),VALUE(E24))</f>
        <v>2.236067977</v>
      </c>
      <c r="F37" s="18">
        <f>MAX(VALUE(I24),VALUE(F24))</f>
        <v>3.605551275</v>
      </c>
      <c r="G37" s="17">
        <f>MAX(VALUE(H23),VALUE(G24))</f>
        <v>1.414213562</v>
      </c>
      <c r="H37" s="18"/>
      <c r="I37" s="17">
        <f>MAX(VALUE(F25),VALUE(I24))</f>
        <v>2.236067977</v>
      </c>
      <c r="J37" s="18">
        <f>MAX(VALUE(I24),VALUE(J24))</f>
        <v>4.123105626</v>
      </c>
      <c r="K37" s="18">
        <f>MAX(VALUE(I24),VALUE(K24))</f>
        <v>18.35755975</v>
      </c>
    </row>
    <row r="38">
      <c r="A38" s="4">
        <v>8.0</v>
      </c>
      <c r="B38" s="18">
        <f>MAX(VALUE(F25),VALUE(B25))</f>
        <v>2.236067977</v>
      </c>
      <c r="C38" s="18">
        <f>MAX(VALUE(F25),VALUE(C25))</f>
        <v>3.16227766</v>
      </c>
      <c r="D38" s="18">
        <f>MAX(VALUE(F25),VALUE(D25))</f>
        <v>3.16227766</v>
      </c>
      <c r="E38" s="17">
        <f>MAX(VALUE(F21),VALUE(E25))</f>
        <v>1.414213562</v>
      </c>
      <c r="F38" s="17">
        <f>MAX(VALUE(B22),VALUE(F25))</f>
        <v>2.236067977</v>
      </c>
      <c r="G38" s="17">
        <f>MAX(VALUE(H23),VALUE(G25))</f>
        <v>1.414213562</v>
      </c>
      <c r="H38" s="18">
        <f>MAX(VALUE(F25),VALUE(H25))</f>
        <v>2.236067977</v>
      </c>
      <c r="I38" s="18"/>
      <c r="J38" s="18">
        <f>MAX(VALUE(F25),VALUE(J25))</f>
        <v>2.828427125</v>
      </c>
      <c r="K38" s="18">
        <f>MAX(VALUE(F25),VALUE(K25))</f>
        <v>20.24845673</v>
      </c>
    </row>
    <row r="39">
      <c r="A39" s="4">
        <v>9.0</v>
      </c>
      <c r="B39" s="17">
        <f>MAX(VALUE(C18), VALUE(B26))</f>
        <v>2.236067977</v>
      </c>
      <c r="C39" s="17">
        <f>MAX(VALUE(D19), VALUE(C26))</f>
        <v>2.828427125</v>
      </c>
      <c r="D39" s="17">
        <f>MAX(VALUE(C20), VALUE(D26))</f>
        <v>2.828427125</v>
      </c>
      <c r="E39" s="18">
        <f>MAX(VALUE(D26), VALUE(E26))</f>
        <v>2.828427125</v>
      </c>
      <c r="F39" s="18">
        <f>MAX(VALUE(D26), VALUE(F26))</f>
        <v>3.16227766</v>
      </c>
      <c r="G39" s="18">
        <f>MAX(VALUE(D26), VALUE(G26))</f>
        <v>3.605551275</v>
      </c>
      <c r="H39" s="18">
        <f>MAX(VALUE(D26), VALUE(H26))</f>
        <v>4.123105626</v>
      </c>
      <c r="I39" s="18">
        <f>MAX(VALUE(D26), VALUE(I26))</f>
        <v>2.828427125</v>
      </c>
      <c r="J39" s="18"/>
      <c r="K39" s="18">
        <f>MAX(VALUE(D26), VALUE(K26))</f>
        <v>19.84943324</v>
      </c>
    </row>
    <row r="40">
      <c r="A40" s="4">
        <v>10.0</v>
      </c>
      <c r="B40" s="18">
        <f>MAX(VALUE(J27),VALUE(B27))</f>
        <v>20.61552813</v>
      </c>
      <c r="C40" s="18">
        <f>MAX(VALUE(J27),VALUE(C27))</f>
        <v>19.84943324</v>
      </c>
      <c r="D40" s="18">
        <f>MAX(VALUE(J27),VALUE(D27))</f>
        <v>21.26029163</v>
      </c>
      <c r="E40" s="18">
        <f>MAX(VALUE(J27),VALUE(E27))</f>
        <v>20.24845673</v>
      </c>
      <c r="F40" s="18">
        <f>MAX(VALUE(J27),VALUE(F27))</f>
        <v>21.63330765</v>
      </c>
      <c r="G40" s="17">
        <f>MAX(VALUE(H23),VALUE(G27))</f>
        <v>19.72308292</v>
      </c>
      <c r="H40" s="17">
        <f>MAX(VALUE(I24),VALUE(H27))</f>
        <v>18.35755975</v>
      </c>
      <c r="I40" s="18">
        <f>MAX(VALUE(J27),VALUE(I27))</f>
        <v>20.24845673</v>
      </c>
      <c r="J40" s="17">
        <f>MAX(VALUE(D26),VALUE(J27))</f>
        <v>19.84943324</v>
      </c>
      <c r="K40" s="18"/>
    </row>
    <row r="42">
      <c r="A42" s="2" t="s">
        <v>20</v>
      </c>
      <c r="B42" s="2"/>
    </row>
    <row r="43">
      <c r="A43" s="2" t="s">
        <v>21</v>
      </c>
      <c r="B43" s="21">
        <f>VALUE(E29)/SUM(C31+D31+J31)</f>
        <v>0.4242640687</v>
      </c>
      <c r="C43" s="2" t="s">
        <v>22</v>
      </c>
      <c r="F43" s="2"/>
    </row>
    <row r="44">
      <c r="A44" s="2" t="s">
        <v>23</v>
      </c>
      <c r="B44" s="21">
        <f>VALUE(E29)/SUM(B32+D32+J32)</f>
        <v>0.4630552407</v>
      </c>
      <c r="C44" s="2" t="s">
        <v>24</v>
      </c>
    </row>
    <row r="45">
      <c r="A45" s="2" t="s">
        <v>25</v>
      </c>
      <c r="B45" s="21">
        <f>VALUE(E29)/SUM(B33+C33+J33)</f>
        <v>0.4630552407</v>
      </c>
      <c r="C45" s="2" t="s">
        <v>26</v>
      </c>
    </row>
    <row r="46">
      <c r="A46" s="2" t="s">
        <v>27</v>
      </c>
      <c r="B46" s="21">
        <f>VALUE(E29)/SUM(F34+G34+I34)</f>
        <v>0.5923591474</v>
      </c>
      <c r="C46" s="2" t="s">
        <v>28</v>
      </c>
    </row>
    <row r="47">
      <c r="A47" s="2" t="s">
        <v>29</v>
      </c>
      <c r="B47" s="21">
        <f>VALUE(E29)/SUM(E35+B35+I35)</f>
        <v>0.5923591474</v>
      </c>
      <c r="C47" s="2" t="s">
        <v>30</v>
      </c>
    </row>
    <row r="48">
      <c r="A48" s="2" t="s">
        <v>31</v>
      </c>
      <c r="B48" s="21">
        <f>VALUE(E29)/SUM(I36+E36+H36)</f>
        <v>0.5923591474</v>
      </c>
      <c r="C48" s="2" t="s">
        <v>32</v>
      </c>
    </row>
    <row r="49">
      <c r="A49" s="2" t="s">
        <v>33</v>
      </c>
      <c r="B49" s="21">
        <f>VALUE(E29)/SUM(E37+G37+I37)</f>
        <v>0.5096537322</v>
      </c>
      <c r="C49" s="2" t="s">
        <v>34</v>
      </c>
    </row>
    <row r="50">
      <c r="A50" s="2" t="s">
        <v>35</v>
      </c>
      <c r="B50" s="21">
        <f>VALUE(E29)/SUM(E38+F38+G38)</f>
        <v>0.5923591474</v>
      </c>
      <c r="C50" s="2" t="s">
        <v>36</v>
      </c>
    </row>
    <row r="51">
      <c r="A51" s="2" t="s">
        <v>37</v>
      </c>
      <c r="B51" s="21">
        <f>VALUE(E29)/SUM(B39+C39+D39)</f>
        <v>0.3800873636</v>
      </c>
      <c r="C51" s="2" t="s">
        <v>38</v>
      </c>
    </row>
    <row r="52">
      <c r="A52" s="2" t="s">
        <v>39</v>
      </c>
      <c r="B52" s="21">
        <f>VALUE(E29)/SUM(G40+H40+J40)</f>
        <v>0.05178657119</v>
      </c>
      <c r="C52" s="2" t="s">
        <v>40</v>
      </c>
    </row>
    <row r="54">
      <c r="A54" s="2" t="s">
        <v>41</v>
      </c>
    </row>
    <row r="55">
      <c r="A55" s="2" t="s">
        <v>42</v>
      </c>
      <c r="B55" s="21">
        <f>(SUM(B44+B45+B51)/3)/B43</f>
        <v>1.026245949</v>
      </c>
    </row>
    <row r="56">
      <c r="A56" s="2" t="s">
        <v>43</v>
      </c>
      <c r="B56" s="21">
        <f>(SUM(B43+B45+B51)/3)/B44</f>
        <v>0.9123509548</v>
      </c>
    </row>
    <row r="57">
      <c r="A57" s="2" t="s">
        <v>44</v>
      </c>
      <c r="B57" s="21">
        <f>(SUM(B43+B44+B51)/3)/B45</f>
        <v>0.9123509548</v>
      </c>
      <c r="C57" s="2"/>
    </row>
    <row r="58">
      <c r="A58" s="2" t="s">
        <v>45</v>
      </c>
      <c r="B58" s="21">
        <f>(SUM(B47+B48+B50)/3)/B46</f>
        <v>1</v>
      </c>
      <c r="C58" s="2"/>
    </row>
    <row r="59">
      <c r="A59" s="2" t="s">
        <v>46</v>
      </c>
      <c r="B59" s="21">
        <f>(SUM(B46+B50+B43)/3)/B46</f>
        <v>0.9054092553</v>
      </c>
      <c r="C59" s="2"/>
    </row>
    <row r="60">
      <c r="A60" s="2" t="s">
        <v>47</v>
      </c>
      <c r="B60" s="21">
        <f>(SUM(B46+B49+B50)/3)/B48</f>
        <v>0.95345987</v>
      </c>
    </row>
    <row r="61">
      <c r="A61" s="2" t="s">
        <v>48</v>
      </c>
      <c r="B61" s="21">
        <f>(SUM(B46+B48+B50)/3)/B49</f>
        <v>1.16227766</v>
      </c>
    </row>
    <row r="62">
      <c r="A62" s="2" t="s">
        <v>49</v>
      </c>
      <c r="B62" s="21">
        <f>(SUM(B46+B47+B48)/3)/B50</f>
        <v>1</v>
      </c>
      <c r="C62" s="2"/>
    </row>
    <row r="63">
      <c r="A63" s="2" t="s">
        <v>50</v>
      </c>
      <c r="B63" s="21">
        <f>(SUM(B43+B44+B45)/3)/B51</f>
        <v>1.184266811</v>
      </c>
    </row>
    <row r="64">
      <c r="A64" s="2" t="s">
        <v>51</v>
      </c>
      <c r="B64" s="21">
        <f>(SUM(B48+B49+B51)/3)/B52</f>
        <v>9.539797733</v>
      </c>
    </row>
  </sheetData>
  <drawing r:id="rId1"/>
</worksheet>
</file>